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são Geral &amp; Estratégia" sheetId="1" state="visible" r:id="rId1"/>
    <sheet xmlns:r="http://schemas.openxmlformats.org/officeDocument/2006/relationships" name="Calendário de Dividendos" sheetId="2" state="visible" r:id="rId2"/>
    <sheet xmlns:r="http://schemas.openxmlformats.org/officeDocument/2006/relationships" name="Simulação 15 An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R$&quot;#,##0.00"/>
    <numFmt numFmtId="165" formatCode="0&quot; anos&quot;"/>
    <numFmt numFmtId="166" formatCode="0.0%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FFFFFF"/>
      <sz val="11"/>
    </font>
    <font>
      <name val="Calibri"/>
      <b val="1"/>
      <color rgb="00FFFFFF"/>
      <sz val="11"/>
    </font>
    <font>
      <name val="Calibri"/>
      <b val="1"/>
      <sz val="11"/>
    </font>
    <font>
      <name val="Calibri"/>
      <i val="1"/>
      <sz val="10"/>
    </font>
    <font>
      <name val="Calibri"/>
      <sz val="11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4472C4"/>
        <bgColor rgb="004472C4"/>
      </patternFill>
    </fill>
    <fill>
      <patternFill patternType="solid">
        <fgColor rgb="00DCE6F1"/>
        <bgColor rgb="00DCE6F1"/>
      </patternFill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3" borderId="0" pivotButton="0" quotePrefix="0" xfId="0"/>
    <xf numFmtId="0" fontId="4" fillId="0" borderId="0" pivotButton="0" quotePrefix="0" xfId="0"/>
    <xf numFmtId="164" fontId="4" fillId="4" borderId="0" applyAlignment="1" pivotButton="0" quotePrefix="0" xfId="0">
      <alignment horizontal="right"/>
    </xf>
    <xf numFmtId="0" fontId="5" fillId="0" borderId="0" pivotButton="0" quotePrefix="0" xfId="0"/>
    <xf numFmtId="165" fontId="4" fillId="4" borderId="0" applyAlignment="1" pivotButton="0" quotePrefix="0" xfId="0">
      <alignment horizontal="right"/>
    </xf>
    <xf numFmtId="164" fontId="6" fillId="5" borderId="0" applyAlignment="1" pivotButton="0" quotePrefix="0" xfId="0">
      <alignment horizontal="right"/>
    </xf>
    <xf numFmtId="166" fontId="6" fillId="5" borderId="0" applyAlignment="1" pivotButton="0" quotePrefix="0" xfId="0">
      <alignment horizontal="right"/>
    </xf>
    <xf numFmtId="166" fontId="4" fillId="4" borderId="0" applyAlignment="1" pivotButton="0" quotePrefix="0" xfId="0">
      <alignment horizontal="right"/>
    </xf>
    <xf numFmtId="0" fontId="3" fillId="2" borderId="0" applyAlignment="1" pivotButton="0" quotePrefix="0" xfId="0">
      <alignment horizontal="left"/>
    </xf>
    <xf numFmtId="0" fontId="3" fillId="2" borderId="0" applyAlignment="1" pivotButton="0" quotePrefix="0" xfId="0">
      <alignment horizontal="center"/>
    </xf>
    <xf numFmtId="164" fontId="6" fillId="0" borderId="0" pivotButton="0" quotePrefix="0" xfId="0"/>
    <xf numFmtId="164" fontId="4" fillId="5" borderId="0" pivotButton="0" quotePrefix="0" xfId="0"/>
    <xf numFmtId="164" fontId="4" fillId="0" borderId="0" pivotButton="0" quotePrefix="0" xfId="0"/>
    <xf numFmtId="166" fontId="4" fillId="0" borderId="0" pivotButton="0" quotePrefix="0" xfId="0"/>
    <xf numFmtId="0" fontId="3" fillId="2" borderId="0" applyAlignment="1" pivotButton="0" quotePrefix="0" xfId="0">
      <alignment horizontal="center" wrapText="1"/>
    </xf>
    <xf numFmtId="0" fontId="6" fillId="0" borderId="0" pivotButton="0" quotePrefix="0" xfId="0"/>
    <xf numFmtId="166" fontId="4" fillId="5" borderId="0" pivotButton="0" quotePrefix="0" xfId="0"/>
    <xf numFmtId="164" fontId="6" fillId="4" borderId="0" pivotButton="0" quotePrefix="0" xfId="0"/>
    <xf numFmtId="164" fontId="4" fillId="4" borderId="0" pivotButton="0" quotePrefix="0" xfId="0"/>
    <xf numFmtId="166" fontId="6" fillId="0" borderId="0" pivotButton="0" quotePrefix="0" xfId="0"/>
    <xf numFmtId="0" fontId="0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1" workbookViewId="0">
      <selection activeCell="A1" sqref="A1"/>
    </sheetView>
  </sheetViews>
  <sheetFormatPr baseColWidth="8" defaultRowHeight="15"/>
  <cols>
    <col width="42" customWidth="1" min="1" max="1"/>
    <col width="32" customWidth="1" min="2" max="2"/>
    <col width="42" customWidth="1" min="3" max="3"/>
    <col width="22" customWidth="1" min="4" max="4"/>
    <col width="18" customWidth="1" min="5" max="5"/>
  </cols>
  <sheetData>
    <row r="1">
      <c r="A1" s="1" t="inlineStr">
        <is>
          <t>PLANO DE APOSENTADORIA: AÇÕES BARSI (BESST) + BITCOIN</t>
        </is>
      </c>
    </row>
    <row r="2">
      <c r="A2" s="2" t="inlineStr">
        <is>
          <t>Estratégia de Acúmulo de Renda Passiva com Rebalanceamento Dinâmico em Picos de Ciclo</t>
        </is>
      </c>
    </row>
    <row r="4">
      <c r="A4" s="3" t="inlineStr">
        <is>
          <t>PREMISSAS GERAIS DO PLANO</t>
        </is>
      </c>
    </row>
    <row r="5">
      <c r="A5" s="4" t="inlineStr">
        <is>
          <t>Aporte Mensal Total</t>
        </is>
      </c>
      <c r="B5" s="5" t="n">
        <v>500</v>
      </c>
      <c r="C5" s="6" t="inlineStr">
        <is>
          <t>Valor em R$ investido mensalmente</t>
        </is>
      </c>
    </row>
    <row r="6">
      <c r="A6" s="4" t="inlineStr">
        <is>
          <t>Prazo do Plano de Acúmulo</t>
        </is>
      </c>
      <c r="B6" s="7" t="n">
        <v>15</v>
      </c>
      <c r="C6" s="6" t="inlineStr">
        <is>
          <t>Anos até a aposentadoria</t>
        </is>
      </c>
    </row>
    <row r="7">
      <c r="A7" s="4" t="inlineStr">
        <is>
          <t>Alocação Mensal - Ações B3 (60%)</t>
        </is>
      </c>
      <c r="B7" s="8">
        <f>B5*0.6</f>
        <v/>
      </c>
      <c r="C7" s="6" t="inlineStr">
        <is>
          <t>Foco em fluxo de dividendos (BESST)</t>
        </is>
      </c>
    </row>
    <row r="8">
      <c r="A8" s="4" t="inlineStr">
        <is>
          <t>Alocação Mensal - Bitcoin (40%)</t>
        </is>
      </c>
      <c r="B8" s="8">
        <f>B5*0.4</f>
        <v/>
      </c>
      <c r="C8" s="6" t="inlineStr">
        <is>
          <t>Foco em reserva de valor e ganho de capital</t>
        </is>
      </c>
    </row>
    <row r="9">
      <c r="A9" s="4" t="inlineStr">
        <is>
          <t>Dividend Yield Médio Estimado da Carteira</t>
        </is>
      </c>
      <c r="B9" s="9">
        <f>'Calendário de Dividendos'!D15</f>
        <v/>
      </c>
      <c r="C9" s="6" t="inlineStr">
        <is>
          <t>DY médio ponderado das ações (dinâmico da aba B3)</t>
        </is>
      </c>
    </row>
    <row r="10">
      <c r="A10" s="4" t="inlineStr">
        <is>
          <t>Crescimento Real Médio das Ações</t>
        </is>
      </c>
      <c r="B10" s="10" t="n">
        <v>0.03</v>
      </c>
      <c r="C10" s="6" t="inlineStr">
        <is>
          <t>Valorização média acima da inflação a.a.</t>
        </is>
      </c>
    </row>
    <row r="11">
      <c r="A11" s="4" t="inlineStr">
        <is>
          <t>Crescimento Real Médio do Bitcoin</t>
        </is>
      </c>
      <c r="B11" s="10" t="n">
        <v>0.15</v>
      </c>
      <c r="C11" s="6" t="inlineStr">
        <is>
          <t>Projeção conservadora de valorização real a.a.</t>
        </is>
      </c>
    </row>
    <row r="12">
      <c r="A12" s="4" t="inlineStr">
        <is>
          <t>Percentual de Reinvestimento de Dividendos</t>
        </is>
      </c>
      <c r="B12" s="10" t="n">
        <v>1</v>
      </c>
      <c r="C12" s="6" t="inlineStr">
        <is>
          <t>100% dos dividendos reinvestidos na fase de acúmulo</t>
        </is>
      </c>
    </row>
    <row r="13">
      <c r="A13" s="4" t="inlineStr">
        <is>
          <t>Percentual de Realização do BTC nos Picos</t>
        </is>
      </c>
      <c r="B13" s="10" t="n">
        <v>0.25</v>
      </c>
      <c r="C13" s="6" t="inlineStr">
        <is>
          <t>Realização parcial em topos de ciclo (a cada 4 anos)</t>
        </is>
      </c>
    </row>
    <row r="16">
      <c r="A16" s="3" t="inlineStr">
        <is>
          <t>COMPARATIVO DE RESULTADOS APÓS 15 ANOS</t>
        </is>
      </c>
    </row>
    <row r="17">
      <c r="A17" s="11" t="inlineStr">
        <is>
          <t>Métrica de Desempenho</t>
        </is>
      </c>
      <c r="B17" s="12" t="inlineStr">
        <is>
          <t>Estratégia Estática (Buy &amp; Hold)</t>
        </is>
      </c>
      <c r="C17" s="12" t="inlineStr">
        <is>
          <t>Estratégia Dinâmica (Rebalanceamento BTC)</t>
        </is>
      </c>
      <c r="D17" s="12" t="inlineStr">
        <is>
          <t>Ganho Adicional (R$)</t>
        </is>
      </c>
      <c r="E17" s="12" t="inlineStr">
        <is>
          <t>Diferença (%)</t>
        </is>
      </c>
    </row>
    <row r="18">
      <c r="A18" s="4" t="inlineStr">
        <is>
          <t>Patrimônio Acumulado em Ações</t>
        </is>
      </c>
      <c r="B18" s="13">
        <f>'Simulação 15 Anos'!C19</f>
        <v/>
      </c>
      <c r="C18" s="14">
        <f>'Simulação 15 Anos'!G19</f>
        <v/>
      </c>
      <c r="D18" s="15">
        <f>C18-B18</f>
        <v/>
      </c>
      <c r="E18" s="16">
        <f>IF(B18&gt;0, (C18-B18)/B18, 0)</f>
        <v/>
      </c>
    </row>
    <row r="19">
      <c r="A19" s="4" t="inlineStr">
        <is>
          <t>Patrimônio Acumulado em Bitcoin</t>
        </is>
      </c>
      <c r="B19" s="13">
        <f>'Simulação 15 Anos'!D19</f>
        <v/>
      </c>
      <c r="C19" s="14">
        <f>'Simulação 15 Anos'!H19</f>
        <v/>
      </c>
      <c r="D19" s="15">
        <f>C19-B19</f>
        <v/>
      </c>
      <c r="E19" s="16">
        <f>IF(B19&gt;0, (C19-B19)/B19, 0)</f>
        <v/>
      </c>
    </row>
    <row r="20">
      <c r="A20" s="4" t="inlineStr">
        <is>
          <t>Patrimônio Total Acumulado</t>
        </is>
      </c>
      <c r="B20" s="13">
        <f>'Simulação 15 Anos'!E19</f>
        <v/>
      </c>
      <c r="C20" s="14">
        <f>'Simulação 15 Anos'!I19</f>
        <v/>
      </c>
      <c r="D20" s="15">
        <f>C20-B20</f>
        <v/>
      </c>
      <c r="E20" s="16">
        <f>IF(B20&gt;0, (C20-B20)/B20, 0)</f>
        <v/>
      </c>
    </row>
    <row r="21">
      <c r="A21" s="4" t="inlineStr">
        <is>
          <t>Renda Mensal em Dividendos (Ano 15)</t>
        </is>
      </c>
      <c r="B21" s="13">
        <f>'Simulação 15 Anos'!F19</f>
        <v/>
      </c>
      <c r="C21" s="14">
        <f>'Simulação 15 Anos'!J19</f>
        <v/>
      </c>
      <c r="D21" s="15">
        <f>C21-B21</f>
        <v/>
      </c>
      <c r="E21" s="16">
        <f>IF(B21&gt;0, (C21-B21)/B21, 0)</f>
        <v/>
      </c>
    </row>
  </sheetData>
  <mergeCells count="4">
    <mergeCell ref="A1:C1"/>
    <mergeCell ref="A4:C4"/>
    <mergeCell ref="A16:E16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0" customWidth="1" min="3" max="3"/>
    <col width="14" customWidth="1" min="4" max="4"/>
    <col width="45" customWidth="1" min="5" max="5"/>
    <col width="14" customWidth="1" min="6" max="6"/>
    <col width="18" customWidth="1" min="7" max="7"/>
    <col width="22" customWidth="1" min="8" max="8"/>
    <col width="16" customWidth="1" min="9" max="9"/>
    <col width="12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</cols>
  <sheetData>
    <row r="1">
      <c r="A1" s="1" t="inlineStr">
        <is>
          <t>CARTEIRA DE AÇÕES RECOMENDADA &amp; CALENDÁRIO MENSAL DE PAGAMENTOS</t>
        </is>
      </c>
    </row>
    <row r="2">
      <c r="A2" s="2" t="inlineStr">
        <is>
          <t>Seleção de Empresas BESST com Atualização Automática de DY e Margem de Segurança</t>
        </is>
      </c>
    </row>
    <row r="4">
      <c r="A4" s="17" t="inlineStr">
        <is>
          <t>Ticker</t>
        </is>
      </c>
      <c r="B4" s="17" t="inlineStr">
        <is>
          <t>Empresa</t>
        </is>
      </c>
      <c r="C4" s="17" t="inlineStr">
        <is>
          <t>Setor (BESST)</t>
        </is>
      </c>
      <c r="D4" s="17" t="inlineStr">
        <is>
          <t>DY Atual (%)</t>
        </is>
      </c>
      <c r="E4" s="17" t="inlineStr">
        <is>
          <t>Fórmula Google Sheets (IMPORTXML)</t>
        </is>
      </c>
      <c r="F4" s="17" t="inlineStr">
        <is>
          <t>Cotação (R$)</t>
        </is>
      </c>
      <c r="G4" s="17" t="inlineStr">
        <is>
          <t>Preço Teto Barsi (R$)</t>
        </is>
      </c>
      <c r="H4" s="17" t="inlineStr">
        <is>
          <t>Margem de Segurança (%)</t>
        </is>
      </c>
      <c r="I4" s="17" t="inlineStr">
        <is>
          <t>Aporte Mensal (R$)</t>
        </is>
      </c>
      <c r="J4" s="17" t="inlineStr">
        <is>
          <t>Peso (%)</t>
        </is>
      </c>
      <c r="K4" s="17" t="inlineStr">
        <is>
          <t>Jan</t>
        </is>
      </c>
      <c r="L4" s="17" t="inlineStr">
        <is>
          <t>Fev</t>
        </is>
      </c>
      <c r="M4" s="17" t="inlineStr">
        <is>
          <t>Mar</t>
        </is>
      </c>
      <c r="N4" s="17" t="inlineStr">
        <is>
          <t>Abr</t>
        </is>
      </c>
      <c r="O4" s="17" t="inlineStr">
        <is>
          <t>Mai</t>
        </is>
      </c>
      <c r="P4" s="17" t="inlineStr">
        <is>
          <t>Jun</t>
        </is>
      </c>
      <c r="Q4" s="17" t="inlineStr">
        <is>
          <t>Jul</t>
        </is>
      </c>
      <c r="R4" s="17" t="inlineStr">
        <is>
          <t>Ago</t>
        </is>
      </c>
      <c r="S4" s="17" t="inlineStr">
        <is>
          <t>Set</t>
        </is>
      </c>
      <c r="T4" s="17" t="inlineStr">
        <is>
          <t>Out</t>
        </is>
      </c>
      <c r="U4" s="17" t="inlineStr">
        <is>
          <t>Nov</t>
        </is>
      </c>
      <c r="V4" s="17" t="inlineStr">
        <is>
          <t>Dez</t>
        </is>
      </c>
    </row>
    <row r="5">
      <c r="A5" s="4" t="inlineStr">
        <is>
          <t>BBAS3</t>
        </is>
      </c>
      <c r="B5" s="18" t="inlineStr">
        <is>
          <t>Banco do Brasil</t>
        </is>
      </c>
      <c r="C5" s="18" t="inlineStr">
        <is>
          <t>Bancos</t>
        </is>
      </c>
      <c r="D5" s="19" t="n">
        <v>0.0833</v>
      </c>
      <c r="E5" s="6">
        <f>IFERROR(VALUE(SUBSTITUTE(SUBSTITUTE(IMPORTXML("https://www.fundamentus.com.br/detalhes.php?papel=BBAS3", "//td[span='Div. Yield']/following-sibling::td/span"), "%", ""), ".", ",")), 0.0833)</f>
        <v/>
      </c>
      <c r="F5" s="20" t="n">
        <v>21.49</v>
      </c>
      <c r="G5" s="15">
        <f>(F5*D5)/0.06</f>
        <v/>
      </c>
      <c r="H5" s="16">
        <f>(G5-F5)/F5</f>
        <v/>
      </c>
      <c r="I5" s="21" t="n">
        <v>75</v>
      </c>
      <c r="J5" s="22">
        <f>I5/$I$15</f>
        <v/>
      </c>
      <c r="K5" s="23" t="n"/>
      <c r="L5" s="24" t="inlineStr">
        <is>
          <t>X</t>
        </is>
      </c>
      <c r="M5" s="24" t="inlineStr">
        <is>
          <t>X</t>
        </is>
      </c>
      <c r="N5" s="23" t="n"/>
      <c r="O5" s="23" t="n"/>
      <c r="P5" s="24" t="inlineStr">
        <is>
          <t>X</t>
        </is>
      </c>
      <c r="Q5" s="23" t="n"/>
      <c r="R5" s="24" t="inlineStr">
        <is>
          <t>X</t>
        </is>
      </c>
      <c r="S5" s="24" t="inlineStr">
        <is>
          <t>X</t>
        </is>
      </c>
      <c r="T5" s="23" t="n"/>
      <c r="U5" s="24" t="inlineStr">
        <is>
          <t>X</t>
        </is>
      </c>
      <c r="V5" s="24" t="inlineStr">
        <is>
          <t>X</t>
        </is>
      </c>
    </row>
    <row r="6">
      <c r="A6" s="4" t="inlineStr">
        <is>
          <t>ITSA4</t>
        </is>
      </c>
      <c r="B6" s="18" t="inlineStr">
        <is>
          <t>Itaúsa</t>
        </is>
      </c>
      <c r="C6" s="18" t="inlineStr">
        <is>
          <t>Holding / Bancos</t>
        </is>
      </c>
      <c r="D6" s="19" t="n">
        <v>0.0809</v>
      </c>
      <c r="E6" s="6">
        <f>IFERROR(VALUE(SUBSTITUTE(SUBSTITUTE(IMPORTXML("https://www.fundamentus.com.br/detalhes.php?papel=ITSA4", "//td[span='Div. Yield']/following-sibling::td/span"), "%", ""), ".", ",")), 0.0809)</f>
        <v/>
      </c>
      <c r="F6" s="20" t="n">
        <v>13.95</v>
      </c>
      <c r="G6" s="15">
        <f>(F6*D6)/0.06</f>
        <v/>
      </c>
      <c r="H6" s="16">
        <f>(G6-F6)/F6</f>
        <v/>
      </c>
      <c r="I6" s="21" t="n">
        <v>60</v>
      </c>
      <c r="J6" s="22">
        <f>I6/$I$15</f>
        <v/>
      </c>
      <c r="K6" s="24" t="inlineStr">
        <is>
          <t>X</t>
        </is>
      </c>
      <c r="L6" s="24" t="inlineStr">
        <is>
          <t>X</t>
        </is>
      </c>
      <c r="M6" s="24" t="inlineStr">
        <is>
          <t>X</t>
        </is>
      </c>
      <c r="N6" s="24" t="inlineStr">
        <is>
          <t>X</t>
        </is>
      </c>
      <c r="O6" s="24" t="inlineStr">
        <is>
          <t>X</t>
        </is>
      </c>
      <c r="P6" s="24" t="inlineStr">
        <is>
          <t>X</t>
        </is>
      </c>
      <c r="Q6" s="24" t="inlineStr">
        <is>
          <t>X</t>
        </is>
      </c>
      <c r="R6" s="24" t="inlineStr">
        <is>
          <t>X</t>
        </is>
      </c>
      <c r="S6" s="24" t="inlineStr">
        <is>
          <t>X</t>
        </is>
      </c>
      <c r="T6" s="24" t="inlineStr">
        <is>
          <t>X</t>
        </is>
      </c>
      <c r="U6" s="24" t="inlineStr">
        <is>
          <t>X</t>
        </is>
      </c>
      <c r="V6" s="24" t="inlineStr">
        <is>
          <t>X</t>
        </is>
      </c>
    </row>
    <row r="7">
      <c r="A7" s="4" t="inlineStr">
        <is>
          <t>TAEE3</t>
        </is>
      </c>
      <c r="B7" s="18" t="inlineStr">
        <is>
          <t>Taesa</t>
        </is>
      </c>
      <c r="C7" s="18" t="inlineStr">
        <is>
          <t>Energia Elétrica</t>
        </is>
      </c>
      <c r="D7" s="19" t="n">
        <v>0.07480000000000001</v>
      </c>
      <c r="E7" s="6">
        <f>IFERROR(VALUE(SUBSTITUTE(SUBSTITUTE(IMPORTXML("https://www.fundamentus.com.br/detalhes.php?papel=TAEE3", "//td[span='Div. Yield']/following-sibling::td/span"), "%", ""), ".", ",")), 0.0748)</f>
        <v/>
      </c>
      <c r="F7" s="20" t="n">
        <v>13.33</v>
      </c>
      <c r="G7" s="15">
        <f>(F7*D7)/0.06</f>
        <v/>
      </c>
      <c r="H7" s="16">
        <f>(G7-F7)/F7</f>
        <v/>
      </c>
      <c r="I7" s="21" t="n">
        <v>60</v>
      </c>
      <c r="J7" s="22">
        <f>I7/$I$15</f>
        <v/>
      </c>
      <c r="K7" s="24" t="inlineStr">
        <is>
          <t>X</t>
        </is>
      </c>
      <c r="L7" s="23" t="n"/>
      <c r="M7" s="23" t="n"/>
      <c r="N7" s="23" t="n"/>
      <c r="O7" s="24" t="inlineStr">
        <is>
          <t>X</t>
        </is>
      </c>
      <c r="P7" s="23" t="n"/>
      <c r="Q7" s="23" t="n"/>
      <c r="R7" s="24" t="inlineStr">
        <is>
          <t>X</t>
        </is>
      </c>
      <c r="S7" s="23" t="n"/>
      <c r="T7" s="23" t="n"/>
      <c r="U7" s="24" t="inlineStr">
        <is>
          <t>X</t>
        </is>
      </c>
      <c r="V7" s="23" t="n"/>
    </row>
    <row r="8">
      <c r="A8" s="4" t="inlineStr">
        <is>
          <t>BBSE3</t>
        </is>
      </c>
      <c r="B8" s="18" t="inlineStr">
        <is>
          <t>BB Seguridade</t>
        </is>
      </c>
      <c r="C8" s="18" t="inlineStr">
        <is>
          <t>Seguridade</t>
        </is>
      </c>
      <c r="D8" s="19" t="n">
        <v>0.1196</v>
      </c>
      <c r="E8" s="6">
        <f>IFERROR(VALUE(SUBSTITUTE(SUBSTITUTE(IMPORTXML("https://www.fundamentus.com.br/detalhes.php?papel=BBSE3", "//td[span='Div. Yield']/following-sibling::td/span"), "%", ""), ".", ",")), 0.1196)</f>
        <v/>
      </c>
      <c r="F8" s="20" t="n">
        <v>38.38</v>
      </c>
      <c r="G8" s="15">
        <f>(F8*D8)/0.06</f>
        <v/>
      </c>
      <c r="H8" s="16">
        <f>(G8-F8)/F8</f>
        <v/>
      </c>
      <c r="I8" s="21" t="n">
        <v>60</v>
      </c>
      <c r="J8" s="22">
        <f>I8/$I$15</f>
        <v/>
      </c>
      <c r="K8" s="23" t="n"/>
      <c r="L8" s="24" t="inlineStr">
        <is>
          <t>X</t>
        </is>
      </c>
      <c r="M8" s="24" t="inlineStr">
        <is>
          <t>X</t>
        </is>
      </c>
      <c r="N8" s="23" t="n"/>
      <c r="O8" s="23" t="n"/>
      <c r="P8" s="23" t="n"/>
      <c r="Q8" s="23" t="n"/>
      <c r="R8" s="24" t="inlineStr">
        <is>
          <t>X</t>
        </is>
      </c>
      <c r="S8" s="24" t="inlineStr">
        <is>
          <t>X</t>
        </is>
      </c>
      <c r="T8" s="23" t="n"/>
      <c r="U8" s="23" t="n"/>
      <c r="V8" s="23" t="n"/>
    </row>
    <row r="9">
      <c r="A9" s="4" t="inlineStr">
        <is>
          <t>VIVT3</t>
        </is>
      </c>
      <c r="B9" s="18" t="inlineStr">
        <is>
          <t>Telefonica Vivo</t>
        </is>
      </c>
      <c r="C9" s="18" t="inlineStr">
        <is>
          <t>Telecomunicações</t>
        </is>
      </c>
      <c r="D9" s="19" t="n">
        <v>0.07199999999999999</v>
      </c>
      <c r="E9" s="6">
        <f>IFERROR(VALUE(SUBSTITUTE(SUBSTITUTE(IMPORTXML("https://www.fundamentus.com.br/detalhes.php?papel=VIVT3", "//td[span='Div. Yield']/following-sibling::td/span"), "%", ""), ".", ",")), 0.0720)</f>
        <v/>
      </c>
      <c r="F9" s="20" t="n">
        <v>29.51</v>
      </c>
      <c r="G9" s="15">
        <f>(F9*D9)/0.06</f>
        <v/>
      </c>
      <c r="H9" s="16">
        <f>(G9-F9)/F9</f>
        <v/>
      </c>
      <c r="I9" s="21" t="n">
        <v>45</v>
      </c>
      <c r="J9" s="22">
        <f>I9/$I$15</f>
        <v/>
      </c>
      <c r="K9" s="23" t="n"/>
      <c r="L9" s="23" t="n"/>
      <c r="M9" s="23" t="n"/>
      <c r="N9" s="24" t="inlineStr">
        <is>
          <t>X</t>
        </is>
      </c>
      <c r="O9" s="23" t="n"/>
      <c r="P9" s="23" t="n"/>
      <c r="Q9" s="24" t="inlineStr">
        <is>
          <t>X</t>
        </is>
      </c>
      <c r="R9" s="23" t="n"/>
      <c r="S9" s="23" t="n"/>
      <c r="T9" s="24" t="inlineStr">
        <is>
          <t>X</t>
        </is>
      </c>
      <c r="U9" s="23" t="n"/>
      <c r="V9" s="24" t="inlineStr">
        <is>
          <t>X</t>
        </is>
      </c>
    </row>
    <row r="10">
      <c r="A10" s="4" t="inlineStr">
        <is>
          <t>CXSE3</t>
        </is>
      </c>
      <c r="B10" s="18" t="inlineStr">
        <is>
          <t>Caixa Seguridade</t>
        </is>
      </c>
      <c r="C10" s="18" t="inlineStr">
        <is>
          <t>Seguridade</t>
        </is>
      </c>
      <c r="D10" s="19" t="n">
        <v>0.0674</v>
      </c>
      <c r="E10" s="6">
        <f>IFERROR(VALUE(SUBSTITUTE(SUBSTITUTE(IMPORTXML("https://www.fundamentus.com.br/detalhes.php?papel=CXSE3", "//td[span='Div. Yield']/following-sibling::td/span"), "%", ""), ".", ",")), 0.0674)</f>
        <v/>
      </c>
      <c r="F10" s="20" t="n">
        <v>20.11</v>
      </c>
      <c r="G10" s="15">
        <f>(F10*D10)/0.06</f>
        <v/>
      </c>
      <c r="H10" s="16">
        <f>(G10-F10)/F10</f>
        <v/>
      </c>
      <c r="I10" s="21" t="n">
        <v>0</v>
      </c>
      <c r="J10" s="22">
        <f>I10/$I$15</f>
        <v/>
      </c>
      <c r="K10" s="24" t="inlineStr">
        <is>
          <t>X</t>
        </is>
      </c>
      <c r="L10" s="23" t="n"/>
      <c r="M10" s="23" t="n"/>
      <c r="N10" s="24" t="inlineStr">
        <is>
          <t>X</t>
        </is>
      </c>
      <c r="O10" s="24" t="inlineStr">
        <is>
          <t>X</t>
        </is>
      </c>
      <c r="P10" s="23" t="n"/>
      <c r="Q10" s="23" t="n"/>
      <c r="R10" s="24" t="inlineStr">
        <is>
          <t>X</t>
        </is>
      </c>
      <c r="S10" s="23" t="n"/>
      <c r="T10" s="24" t="inlineStr">
        <is>
          <t>X</t>
        </is>
      </c>
      <c r="U10" s="24" t="inlineStr">
        <is>
          <t>X</t>
        </is>
      </c>
      <c r="V10" s="23" t="n"/>
    </row>
    <row r="11">
      <c r="A11" s="4" t="inlineStr">
        <is>
          <t>ITUB4</t>
        </is>
      </c>
      <c r="B11" s="18" t="inlineStr">
        <is>
          <t>Itaú Unibanco</t>
        </is>
      </c>
      <c r="C11" s="18" t="inlineStr">
        <is>
          <t>Bancos</t>
        </is>
      </c>
      <c r="D11" s="19" t="n">
        <v>0.0756</v>
      </c>
      <c r="E11" s="6">
        <f>IFERROR(VALUE(SUBSTITUTE(SUBSTITUTE(IMPORTXML("https://www.fundamentus.com.br/detalhes.php?papel=ITUB4", "//td[span='Div. Yield']/following-sibling::td/span"), "%", ""), ".", ",")), 0.0756)</f>
        <v/>
      </c>
      <c r="F11" s="20" t="n">
        <v>41.71</v>
      </c>
      <c r="G11" s="15">
        <f>(F11*D11)/0.06</f>
        <v/>
      </c>
      <c r="H11" s="16">
        <f>(G11-F11)/F11</f>
        <v/>
      </c>
      <c r="I11" s="21" t="n">
        <v>0</v>
      </c>
      <c r="J11" s="22">
        <f>I11/$I$15</f>
        <v/>
      </c>
      <c r="K11" s="24" t="inlineStr">
        <is>
          <t>X</t>
        </is>
      </c>
      <c r="L11" s="24" t="inlineStr">
        <is>
          <t>X</t>
        </is>
      </c>
      <c r="M11" s="24" t="inlineStr">
        <is>
          <t>X</t>
        </is>
      </c>
      <c r="N11" s="24" t="inlineStr">
        <is>
          <t>X</t>
        </is>
      </c>
      <c r="O11" s="24" t="inlineStr">
        <is>
          <t>X</t>
        </is>
      </c>
      <c r="P11" s="24" t="inlineStr">
        <is>
          <t>X</t>
        </is>
      </c>
      <c r="Q11" s="24" t="inlineStr">
        <is>
          <t>X</t>
        </is>
      </c>
      <c r="R11" s="24" t="inlineStr">
        <is>
          <t>X</t>
        </is>
      </c>
      <c r="S11" s="24" t="inlineStr">
        <is>
          <t>X</t>
        </is>
      </c>
      <c r="T11" s="24" t="inlineStr">
        <is>
          <t>X</t>
        </is>
      </c>
      <c r="U11" s="24" t="inlineStr">
        <is>
          <t>X</t>
        </is>
      </c>
      <c r="V11" s="24" t="inlineStr">
        <is>
          <t>X</t>
        </is>
      </c>
    </row>
    <row r="12">
      <c r="A12" s="4" t="inlineStr">
        <is>
          <t>CMIG4</t>
        </is>
      </c>
      <c r="B12" s="18" t="inlineStr">
        <is>
          <t>Cemig</t>
        </is>
      </c>
      <c r="C12" s="18" t="inlineStr">
        <is>
          <t>Energia Elétrica</t>
        </is>
      </c>
      <c r="D12" s="19" t="n">
        <v>0.0824</v>
      </c>
      <c r="E12" s="6">
        <f>IFERROR(VALUE(SUBSTITUTE(SUBSTITUTE(IMPORTXML("https://www.fundamentus.com.br/detalhes.php?papel=CMIG4", "//td[span='Div. Yield']/following-sibling::td/span"), "%", ""), ".", ",")), 0.0824)</f>
        <v/>
      </c>
      <c r="F12" s="20" t="n">
        <v>10.84</v>
      </c>
      <c r="G12" s="15">
        <f>(F12*D12)/0.06</f>
        <v/>
      </c>
      <c r="H12" s="16">
        <f>(G12-F12)/F12</f>
        <v/>
      </c>
      <c r="I12" s="21" t="n">
        <v>0</v>
      </c>
      <c r="J12" s="22">
        <f>I12/$I$15</f>
        <v/>
      </c>
      <c r="K12" s="23" t="n"/>
      <c r="L12" s="23" t="n"/>
      <c r="M12" s="24" t="inlineStr">
        <is>
          <t>X</t>
        </is>
      </c>
      <c r="N12" s="24" t="inlineStr">
        <is>
          <t>X</t>
        </is>
      </c>
      <c r="O12" s="23" t="n"/>
      <c r="P12" s="24" t="inlineStr">
        <is>
          <t>X</t>
        </is>
      </c>
      <c r="Q12" s="23" t="n"/>
      <c r="R12" s="23" t="n"/>
      <c r="S12" s="24" t="inlineStr">
        <is>
          <t>X</t>
        </is>
      </c>
      <c r="T12" s="23" t="n"/>
      <c r="U12" s="23" t="n"/>
      <c r="V12" s="24" t="inlineStr">
        <is>
          <t>X</t>
        </is>
      </c>
    </row>
    <row r="13">
      <c r="A13" s="4" t="inlineStr">
        <is>
          <t>TIMS3</t>
        </is>
      </c>
      <c r="B13" s="18" t="inlineStr">
        <is>
          <t>TIM Brasil</t>
        </is>
      </c>
      <c r="C13" s="18" t="inlineStr">
        <is>
          <t>Telecomunicações</t>
        </is>
      </c>
      <c r="D13" s="19" t="n">
        <v>0.08</v>
      </c>
      <c r="E13" s="6">
        <f>IFERROR(VALUE(SUBSTITUTE(SUBSTITUTE(IMPORTXML("https://www.fundamentus.com.br/detalhes.php?papel=TIMS3", "//td[span='Div. Yield']/following-sibling::td/span"), "%", ""), ".", ",")), 0.0800)</f>
        <v/>
      </c>
      <c r="F13" s="20" t="n">
        <v>18.48</v>
      </c>
      <c r="G13" s="15">
        <f>(F13*D13)/0.06</f>
        <v/>
      </c>
      <c r="H13" s="16">
        <f>(G13-F13)/F13</f>
        <v/>
      </c>
      <c r="I13" s="21" t="n">
        <v>0</v>
      </c>
      <c r="J13" s="22">
        <f>I13/$I$15</f>
        <v/>
      </c>
      <c r="K13" s="24" t="inlineStr">
        <is>
          <t>X</t>
        </is>
      </c>
      <c r="L13" s="23" t="n"/>
      <c r="M13" s="23" t="n"/>
      <c r="N13" s="24" t="inlineStr">
        <is>
          <t>X</t>
        </is>
      </c>
      <c r="O13" s="23" t="n"/>
      <c r="P13" s="23" t="n"/>
      <c r="Q13" s="24" t="inlineStr">
        <is>
          <t>X</t>
        </is>
      </c>
      <c r="R13" s="23" t="n"/>
      <c r="S13" s="23" t="n"/>
      <c r="T13" s="24" t="inlineStr">
        <is>
          <t>X</t>
        </is>
      </c>
      <c r="U13" s="23" t="n"/>
      <c r="V13" s="23" t="n"/>
    </row>
    <row r="14">
      <c r="A14" s="4" t="inlineStr">
        <is>
          <t>BRSR6</t>
        </is>
      </c>
      <c r="B14" s="18" t="inlineStr">
        <is>
          <t>Banrisul</t>
        </is>
      </c>
      <c r="C14" s="18" t="inlineStr">
        <is>
          <t>Bancos</t>
        </is>
      </c>
      <c r="D14" s="19" t="n">
        <v>0.1018</v>
      </c>
      <c r="E14" s="6">
        <f>IFERROR(VALUE(SUBSTITUTE(SUBSTITUTE(IMPORTXML("https://www.fundamentus.com.br/detalhes.php?papel=BRSR6", "//td[span='Div. Yield']/following-sibling::td/span"), "%", ""), ".", ",")), 0.1018)</f>
        <v/>
      </c>
      <c r="F14" s="20" t="n">
        <v>15.31</v>
      </c>
      <c r="G14" s="15">
        <f>(F14*D14)/0.06</f>
        <v/>
      </c>
      <c r="H14" s="16">
        <f>(G14-F14)/F14</f>
        <v/>
      </c>
      <c r="I14" s="21" t="n">
        <v>0</v>
      </c>
      <c r="J14" s="22">
        <f>I14/$I$15</f>
        <v/>
      </c>
      <c r="K14" s="23" t="n"/>
      <c r="L14" s="23" t="n"/>
      <c r="M14" s="24" t="inlineStr">
        <is>
          <t>X</t>
        </is>
      </c>
      <c r="N14" s="23" t="n"/>
      <c r="O14" s="24" t="inlineStr">
        <is>
          <t>X</t>
        </is>
      </c>
      <c r="P14" s="24" t="inlineStr">
        <is>
          <t>X</t>
        </is>
      </c>
      <c r="Q14" s="23" t="n"/>
      <c r="R14" s="23" t="n"/>
      <c r="S14" s="24" t="inlineStr">
        <is>
          <t>X</t>
        </is>
      </c>
      <c r="T14" s="23" t="n"/>
      <c r="U14" s="23" t="n"/>
      <c r="V14" s="24" t="inlineStr">
        <is>
          <t>X</t>
        </is>
      </c>
    </row>
    <row r="15">
      <c r="A15" s="4" t="inlineStr">
        <is>
          <t>MÉDIA / TOTAL CARTEIRA AÇÕES</t>
        </is>
      </c>
      <c r="D15" s="16">
        <f>SUMPRODUCT(D5:D14, J5:J14)</f>
        <v/>
      </c>
      <c r="I15" s="15">
        <f>'Visão Geral &amp; Estratégia'!B7</f>
        <v/>
      </c>
      <c r="J15" s="16">
        <f>SUM(J5:J14)</f>
        <v/>
      </c>
    </row>
    <row r="17">
      <c r="A17" s="6" t="inlineStr">
        <is>
          <t>* O 'DY Atual (%)' reflete a taxa de dividendos acumulada dos últimos 12 meses obtida nas plataformas financeiras (StatusInvest / Fundamentus).</t>
        </is>
      </c>
    </row>
    <row r="18">
      <c r="A18" s="6" t="inlineStr">
        <is>
          <t>* A coluna 'Fórmula Google Sheets' contém a instrução =IMPORTXML(...) que você pode colar na coluna D caso use o Google Sheets para atualização 100% automática a cada abertura.</t>
        </is>
      </c>
    </row>
    <row r="19">
      <c r="A19" s="6" t="inlineStr">
        <is>
          <t>* 'Preço Teto' representa o preço máximo a pagar para garantir no mínimo 6% a.a. de Dividend Yield.</t>
        </is>
      </c>
    </row>
  </sheetData>
  <mergeCells count="2">
    <mergeCell ref="A1:U1"/>
    <mergeCell ref="A2:U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9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35" customWidth="1" min="11" max="11"/>
  </cols>
  <sheetData>
    <row r="1">
      <c r="A1" s="1" t="inlineStr">
        <is>
          <t>SIMULAÇÃO DETALHADA DE ACÚMULO E REBALANCEAMENTO DINÂMICO (15 ANOS)</t>
        </is>
      </c>
    </row>
    <row r="2">
      <c r="A2" s="2" t="inlineStr">
        <is>
          <t>Evolução do Patrimônio e Projeção de Renda Passiva de Dividendos</t>
        </is>
      </c>
    </row>
    <row r="4">
      <c r="A4" s="17" t="inlineStr">
        <is>
          <t>Ano</t>
        </is>
      </c>
      <c r="B4" s="17" t="inlineStr">
        <is>
          <t>Aporte Acum. (R$)</t>
        </is>
      </c>
      <c r="C4" s="17" t="inlineStr">
        <is>
          <t>Estat. Ações (R$)</t>
        </is>
      </c>
      <c r="D4" s="17" t="inlineStr">
        <is>
          <t>Estat. BTC (R$)</t>
        </is>
      </c>
      <c r="E4" s="17" t="inlineStr">
        <is>
          <t>Estat. Total (R$)</t>
        </is>
      </c>
      <c r="F4" s="17" t="inlineStr">
        <is>
          <t>Estat. Div/Mês (R$)</t>
        </is>
      </c>
      <c r="G4" s="17" t="inlineStr">
        <is>
          <t>Dinam. Ações (R$)</t>
        </is>
      </c>
      <c r="H4" s="17" t="inlineStr">
        <is>
          <t>Dinam. BTC (R$)</t>
        </is>
      </c>
      <c r="I4" s="17" t="inlineStr">
        <is>
          <t>Dinam. Total (R$)</t>
        </is>
      </c>
      <c r="J4" s="17" t="inlineStr">
        <is>
          <t>Dinam. Div/Mês (R$)</t>
        </is>
      </c>
      <c r="K4" s="17" t="inlineStr">
        <is>
          <t>Evento Rebalanceamento</t>
        </is>
      </c>
    </row>
    <row r="5">
      <c r="A5" s="23" t="n">
        <v>1</v>
      </c>
      <c r="B5" s="25">
        <f>'Visão Geral &amp; Estratégia'!$B$5*12*1</f>
        <v/>
      </c>
      <c r="C5" s="25">
        <f>-FV(('Visão Geral &amp; Estratégia'!$B$9+'Visão Geral &amp; Estratégia'!$B$10)/12, 1*12, 'Visão Geral &amp; Estratégia'!$B$7, 0)</f>
        <v/>
      </c>
      <c r="D5" s="25">
        <f>-FV('Visão Geral &amp; Estratégia'!$B$11/12, 1*12, 'Visão Geral &amp; Estratégia'!$B$8, 0)</f>
        <v/>
      </c>
      <c r="E5" s="15">
        <f>C5+D5</f>
        <v/>
      </c>
      <c r="F5" s="25">
        <f>(C5*'Visão Geral &amp; Estratégia'!$B$9)/12</f>
        <v/>
      </c>
      <c r="G5" s="25">
        <f>C5</f>
        <v/>
      </c>
      <c r="H5" s="25">
        <f>D5</f>
        <v/>
      </c>
      <c r="I5" s="14">
        <f>G5+H5</f>
        <v/>
      </c>
      <c r="J5" s="15">
        <f>(G5*'Visão Geral &amp; Estratégia'!$B$9)/12</f>
        <v/>
      </c>
      <c r="K5" s="6" t="inlineStr">
        <is>
          <t>Acúmulo Normal</t>
        </is>
      </c>
    </row>
    <row r="6">
      <c r="A6" s="23" t="n">
        <v>2</v>
      </c>
      <c r="B6" s="25">
        <f>'Visão Geral &amp; Estratégia'!$B$5*12*2</f>
        <v/>
      </c>
      <c r="C6" s="25">
        <f>-FV(('Visão Geral &amp; Estratégia'!$B$9+'Visão Geral &amp; Estratégia'!$B$10)/12, 2*12, 'Visão Geral &amp; Estratégia'!$B$7, 0)</f>
        <v/>
      </c>
      <c r="D6" s="25">
        <f>-FV('Visão Geral &amp; Estratégia'!$B$11/12, 2*12, 'Visão Geral &amp; Estratégia'!$B$8, 0)</f>
        <v/>
      </c>
      <c r="E6" s="15">
        <f>C6+D6</f>
        <v/>
      </c>
      <c r="F6" s="25">
        <f>(C6*'Visão Geral &amp; Estratégia'!$B$9)/12</f>
        <v/>
      </c>
      <c r="G6" s="25">
        <f>G5*(1+('Visão Geral &amp; Estratégia'!$B$9+'Visão Geral &amp; Estratégia'!$B$10)) + 'Visão Geral &amp; Estratégia'!$B$7*12</f>
        <v/>
      </c>
      <c r="H6" s="25">
        <f>H5*(1+'Visão Geral &amp; Estratégia'!$B$11) + 'Visão Geral &amp; Estratégia'!$B$8*12</f>
        <v/>
      </c>
      <c r="I6" s="14">
        <f>G6+H6</f>
        <v/>
      </c>
      <c r="J6" s="15">
        <f>(G6*'Visão Geral &amp; Estratégia'!$B$9)/12</f>
        <v/>
      </c>
      <c r="K6" s="6" t="inlineStr">
        <is>
          <t>Acúmulo Normal</t>
        </is>
      </c>
    </row>
    <row r="7">
      <c r="A7" s="23" t="n">
        <v>3</v>
      </c>
      <c r="B7" s="25">
        <f>'Visão Geral &amp; Estratégia'!$B$5*12*3</f>
        <v/>
      </c>
      <c r="C7" s="25">
        <f>-FV(('Visão Geral &amp; Estratégia'!$B$9+'Visão Geral &amp; Estratégia'!$B$10)/12, 3*12, 'Visão Geral &amp; Estratégia'!$B$7, 0)</f>
        <v/>
      </c>
      <c r="D7" s="25">
        <f>-FV('Visão Geral &amp; Estratégia'!$B$11/12, 3*12, 'Visão Geral &amp; Estratégia'!$B$8, 0)</f>
        <v/>
      </c>
      <c r="E7" s="15">
        <f>C7+D7</f>
        <v/>
      </c>
      <c r="F7" s="25">
        <f>(C7*'Visão Geral &amp; Estratégia'!$B$9)/12</f>
        <v/>
      </c>
      <c r="G7" s="25">
        <f>G6*(1+('Visão Geral &amp; Estratégia'!$B$9+'Visão Geral &amp; Estratégia'!$B$10)) + 'Visão Geral &amp; Estratégia'!$B$7*12</f>
        <v/>
      </c>
      <c r="H7" s="25">
        <f>H6*(1+'Visão Geral &amp; Estratégia'!$B$11) + 'Visão Geral &amp; Estratégia'!$B$8*12</f>
        <v/>
      </c>
      <c r="I7" s="14">
        <f>G7+H7</f>
        <v/>
      </c>
      <c r="J7" s="15">
        <f>(G7*'Visão Geral &amp; Estratégia'!$B$9)/12</f>
        <v/>
      </c>
      <c r="K7" s="6" t="inlineStr">
        <is>
          <t>Acúmulo Normal</t>
        </is>
      </c>
    </row>
    <row r="8">
      <c r="A8" s="23" t="n">
        <v>4</v>
      </c>
      <c r="B8" s="25">
        <f>'Visão Geral &amp; Estratégia'!$B$5*12*4</f>
        <v/>
      </c>
      <c r="C8" s="25">
        <f>-FV(('Visão Geral &amp; Estratégia'!$B$9+'Visão Geral &amp; Estratégia'!$B$10)/12, 4*12, 'Visão Geral &amp; Estratégia'!$B$7, 0)</f>
        <v/>
      </c>
      <c r="D8" s="25">
        <f>-FV('Visão Geral &amp; Estratégia'!$B$11/12, 4*12, 'Visão Geral &amp; Estratégia'!$B$8, 0)</f>
        <v/>
      </c>
      <c r="E8" s="15">
        <f>C8+D8</f>
        <v/>
      </c>
      <c r="F8" s="25">
        <f>(C8*'Visão Geral &amp; Estratégia'!$B$9)/12</f>
        <v/>
      </c>
      <c r="G8" s="25">
        <f>(G7*(1+('Visão Geral &amp; Estratégia'!$B$9+'Visão Geral &amp; Estratégia'!$B$10)) + 'Visão Geral &amp; Estratégia'!$B$7*12) + (H7*(1+'Visão Geral &amp; Estratégia'!$B$11) + 'Visão Geral &amp; Estratégia'!$B$8*12)*'Visão Geral &amp; Estratégia'!$B$13</f>
        <v/>
      </c>
      <c r="H8" s="25">
        <f>(H7*(1+'Visão Geral &amp; Estratégia'!$B$11) + 'Visão Geral &amp; Estratégia'!$B$8*12)*(1-'Visão Geral &amp; Estratégia'!$B$13)</f>
        <v/>
      </c>
      <c r="I8" s="14">
        <f>G8+H8</f>
        <v/>
      </c>
      <c r="J8" s="15">
        <f>(G8*'Visão Geral &amp; Estratégia'!$B$9)/12</f>
        <v/>
      </c>
      <c r="K8" s="6" t="inlineStr">
        <is>
          <t>Topo BTC: Venda 25% BTC -&gt; Ações</t>
        </is>
      </c>
    </row>
    <row r="9">
      <c r="A9" s="23" t="n">
        <v>5</v>
      </c>
      <c r="B9" s="25">
        <f>'Visão Geral &amp; Estratégia'!$B$5*12*5</f>
        <v/>
      </c>
      <c r="C9" s="25">
        <f>-FV(('Visão Geral &amp; Estratégia'!$B$9+'Visão Geral &amp; Estratégia'!$B$10)/12, 5*12, 'Visão Geral &amp; Estratégia'!$B$7, 0)</f>
        <v/>
      </c>
      <c r="D9" s="25">
        <f>-FV('Visão Geral &amp; Estratégia'!$B$11/12, 5*12, 'Visão Geral &amp; Estratégia'!$B$8, 0)</f>
        <v/>
      </c>
      <c r="E9" s="15">
        <f>C9+D9</f>
        <v/>
      </c>
      <c r="F9" s="25">
        <f>(C9*'Visão Geral &amp; Estratégia'!$B$9)/12</f>
        <v/>
      </c>
      <c r="G9" s="25">
        <f>G8*(1+('Visão Geral &amp; Estratégia'!$B$9+'Visão Geral &amp; Estratégia'!$B$10)) + 'Visão Geral &amp; Estratégia'!$B$7*12</f>
        <v/>
      </c>
      <c r="H9" s="25">
        <f>H8*(1+'Visão Geral &amp; Estratégia'!$B$11) + 'Visão Geral &amp; Estratégia'!$B$8*12</f>
        <v/>
      </c>
      <c r="I9" s="14">
        <f>G9+H9</f>
        <v/>
      </c>
      <c r="J9" s="15">
        <f>(G9*'Visão Geral &amp; Estratégia'!$B$9)/12</f>
        <v/>
      </c>
      <c r="K9" s="6" t="inlineStr">
        <is>
          <t>Acúmulo Normal</t>
        </is>
      </c>
    </row>
    <row r="10">
      <c r="A10" s="23" t="n">
        <v>6</v>
      </c>
      <c r="B10" s="25">
        <f>'Visão Geral &amp; Estratégia'!$B$5*12*6</f>
        <v/>
      </c>
      <c r="C10" s="25">
        <f>-FV(('Visão Geral &amp; Estratégia'!$B$9+'Visão Geral &amp; Estratégia'!$B$10)/12, 6*12, 'Visão Geral &amp; Estratégia'!$B$7, 0)</f>
        <v/>
      </c>
      <c r="D10" s="25">
        <f>-FV('Visão Geral &amp; Estratégia'!$B$11/12, 6*12, 'Visão Geral &amp; Estratégia'!$B$8, 0)</f>
        <v/>
      </c>
      <c r="E10" s="15">
        <f>C10+D10</f>
        <v/>
      </c>
      <c r="F10" s="25">
        <f>(C10*'Visão Geral &amp; Estratégia'!$B$9)/12</f>
        <v/>
      </c>
      <c r="G10" s="25">
        <f>G9*(1+('Visão Geral &amp; Estratégia'!$B$9+'Visão Geral &amp; Estratégia'!$B$10)) + 'Visão Geral &amp; Estratégia'!$B$7*12</f>
        <v/>
      </c>
      <c r="H10" s="25">
        <f>H9*(1+'Visão Geral &amp; Estratégia'!$B$11) + 'Visão Geral &amp; Estratégia'!$B$8*12</f>
        <v/>
      </c>
      <c r="I10" s="14">
        <f>G10+H10</f>
        <v/>
      </c>
      <c r="J10" s="15">
        <f>(G10*'Visão Geral &amp; Estratégia'!$B$9)/12</f>
        <v/>
      </c>
      <c r="K10" s="6" t="inlineStr">
        <is>
          <t>Acúmulo Normal</t>
        </is>
      </c>
    </row>
    <row r="11">
      <c r="A11" s="23" t="n">
        <v>7</v>
      </c>
      <c r="B11" s="25">
        <f>'Visão Geral &amp; Estratégia'!$B$5*12*7</f>
        <v/>
      </c>
      <c r="C11" s="25">
        <f>-FV(('Visão Geral &amp; Estratégia'!$B$9+'Visão Geral &amp; Estratégia'!$B$10)/12, 7*12, 'Visão Geral &amp; Estratégia'!$B$7, 0)</f>
        <v/>
      </c>
      <c r="D11" s="25">
        <f>-FV('Visão Geral &amp; Estratégia'!$B$11/12, 7*12, 'Visão Geral &amp; Estratégia'!$B$8, 0)</f>
        <v/>
      </c>
      <c r="E11" s="15">
        <f>C11+D11</f>
        <v/>
      </c>
      <c r="F11" s="25">
        <f>(C11*'Visão Geral &amp; Estratégia'!$B$9)/12</f>
        <v/>
      </c>
      <c r="G11" s="25">
        <f>G10*(1+('Visão Geral &amp; Estratégia'!$B$9+'Visão Geral &amp; Estratégia'!$B$10)) + 'Visão Geral &amp; Estratégia'!$B$7*12</f>
        <v/>
      </c>
      <c r="H11" s="25">
        <f>H10*(1+'Visão Geral &amp; Estratégia'!$B$11) + 'Visão Geral &amp; Estratégia'!$B$8*12</f>
        <v/>
      </c>
      <c r="I11" s="14">
        <f>G11+H11</f>
        <v/>
      </c>
      <c r="J11" s="15">
        <f>(G11*'Visão Geral &amp; Estratégia'!$B$9)/12</f>
        <v/>
      </c>
      <c r="K11" s="6" t="inlineStr">
        <is>
          <t>Acúmulo Normal</t>
        </is>
      </c>
    </row>
    <row r="12">
      <c r="A12" s="23" t="n">
        <v>8</v>
      </c>
      <c r="B12" s="25">
        <f>'Visão Geral &amp; Estratégia'!$B$5*12*8</f>
        <v/>
      </c>
      <c r="C12" s="25">
        <f>-FV(('Visão Geral &amp; Estratégia'!$B$9+'Visão Geral &amp; Estratégia'!$B$10)/12, 8*12, 'Visão Geral &amp; Estratégia'!$B$7, 0)</f>
        <v/>
      </c>
      <c r="D12" s="25">
        <f>-FV('Visão Geral &amp; Estratégia'!$B$11/12, 8*12, 'Visão Geral &amp; Estratégia'!$B$8, 0)</f>
        <v/>
      </c>
      <c r="E12" s="15">
        <f>C12+D12</f>
        <v/>
      </c>
      <c r="F12" s="25">
        <f>(C12*'Visão Geral &amp; Estratégia'!$B$9)/12</f>
        <v/>
      </c>
      <c r="G12" s="25">
        <f>(G11*(1+('Visão Geral &amp; Estratégia'!$B$9+'Visão Geral &amp; Estratégia'!$B$10)) + 'Visão Geral &amp; Estratégia'!$B$7*12) + (H11*(1+'Visão Geral &amp; Estratégia'!$B$11) + 'Visão Geral &amp; Estratégia'!$B$8*12)*'Visão Geral &amp; Estratégia'!$B$13</f>
        <v/>
      </c>
      <c r="H12" s="25">
        <f>(H11*(1+'Visão Geral &amp; Estratégia'!$B$11) + 'Visão Geral &amp; Estratégia'!$B$8*12)*(1-'Visão Geral &amp; Estratégia'!$B$13)</f>
        <v/>
      </c>
      <c r="I12" s="14">
        <f>G12+H12</f>
        <v/>
      </c>
      <c r="J12" s="15">
        <f>(G12*'Visão Geral &amp; Estratégia'!$B$9)/12</f>
        <v/>
      </c>
      <c r="K12" s="6" t="inlineStr">
        <is>
          <t>Topo BTC: Venda 25% BTC -&gt; Ações</t>
        </is>
      </c>
    </row>
    <row r="13">
      <c r="A13" s="23" t="n">
        <v>9</v>
      </c>
      <c r="B13" s="25">
        <f>'Visão Geral &amp; Estratégia'!$B$5*12*9</f>
        <v/>
      </c>
      <c r="C13" s="25">
        <f>-FV(('Visão Geral &amp; Estratégia'!$B$9+'Visão Geral &amp; Estratégia'!$B$10)/12, 9*12, 'Visão Geral &amp; Estratégia'!$B$7, 0)</f>
        <v/>
      </c>
      <c r="D13" s="25">
        <f>-FV('Visão Geral &amp; Estratégia'!$B$11/12, 9*12, 'Visão Geral &amp; Estratégia'!$B$8, 0)</f>
        <v/>
      </c>
      <c r="E13" s="15">
        <f>C13+D13</f>
        <v/>
      </c>
      <c r="F13" s="25">
        <f>(C13*'Visão Geral &amp; Estratégia'!$B$9)/12</f>
        <v/>
      </c>
      <c r="G13" s="25">
        <f>G12*(1+('Visão Geral &amp; Estratégia'!$B$9+'Visão Geral &amp; Estratégia'!$B$10)) + 'Visão Geral &amp; Estratégia'!$B$7*12</f>
        <v/>
      </c>
      <c r="H13" s="25">
        <f>H12*(1+'Visão Geral &amp; Estratégia'!$B$11) + 'Visão Geral &amp; Estratégia'!$B$8*12</f>
        <v/>
      </c>
      <c r="I13" s="14">
        <f>G13+H13</f>
        <v/>
      </c>
      <c r="J13" s="15">
        <f>(G13*'Visão Geral &amp; Estratégia'!$B$9)/12</f>
        <v/>
      </c>
      <c r="K13" s="6" t="inlineStr">
        <is>
          <t>Acúmulo Normal</t>
        </is>
      </c>
    </row>
    <row r="14">
      <c r="A14" s="23" t="n">
        <v>10</v>
      </c>
      <c r="B14" s="25">
        <f>'Visão Geral &amp; Estratégia'!$B$5*12*10</f>
        <v/>
      </c>
      <c r="C14" s="25">
        <f>-FV(('Visão Geral &amp; Estratégia'!$B$9+'Visão Geral &amp; Estratégia'!$B$10)/12, 10*12, 'Visão Geral &amp; Estratégia'!$B$7, 0)</f>
        <v/>
      </c>
      <c r="D14" s="25">
        <f>-FV('Visão Geral &amp; Estratégia'!$B$11/12, 10*12, 'Visão Geral &amp; Estratégia'!$B$8, 0)</f>
        <v/>
      </c>
      <c r="E14" s="15">
        <f>C14+D14</f>
        <v/>
      </c>
      <c r="F14" s="25">
        <f>(C14*'Visão Geral &amp; Estratégia'!$B$9)/12</f>
        <v/>
      </c>
      <c r="G14" s="25">
        <f>G13*(1+('Visão Geral &amp; Estratégia'!$B$9+'Visão Geral &amp; Estratégia'!$B$10)) + 'Visão Geral &amp; Estratégia'!$B$7*12</f>
        <v/>
      </c>
      <c r="H14" s="25">
        <f>H13*(1+'Visão Geral &amp; Estratégia'!$B$11) + 'Visão Geral &amp; Estratégia'!$B$8*12</f>
        <v/>
      </c>
      <c r="I14" s="14">
        <f>G14+H14</f>
        <v/>
      </c>
      <c r="J14" s="15">
        <f>(G14*'Visão Geral &amp; Estratégia'!$B$9)/12</f>
        <v/>
      </c>
      <c r="K14" s="6" t="inlineStr">
        <is>
          <t>Acúmulo Normal</t>
        </is>
      </c>
    </row>
    <row r="15">
      <c r="A15" s="23" t="n">
        <v>11</v>
      </c>
      <c r="B15" s="25">
        <f>'Visão Geral &amp; Estratégia'!$B$5*12*11</f>
        <v/>
      </c>
      <c r="C15" s="25">
        <f>-FV(('Visão Geral &amp; Estratégia'!$B$9+'Visão Geral &amp; Estratégia'!$B$10)/12, 11*12, 'Visão Geral &amp; Estratégia'!$B$7, 0)</f>
        <v/>
      </c>
      <c r="D15" s="25">
        <f>-FV('Visão Geral &amp; Estratégia'!$B$11/12, 11*12, 'Visão Geral &amp; Estratégia'!$B$8, 0)</f>
        <v/>
      </c>
      <c r="E15" s="15">
        <f>C15+D15</f>
        <v/>
      </c>
      <c r="F15" s="25">
        <f>(C15*'Visão Geral &amp; Estratégia'!$B$9)/12</f>
        <v/>
      </c>
      <c r="G15" s="25">
        <f>G14*(1+('Visão Geral &amp; Estratégia'!$B$9+'Visão Geral &amp; Estratégia'!$B$10)) + 'Visão Geral &amp; Estratégia'!$B$7*12</f>
        <v/>
      </c>
      <c r="H15" s="25">
        <f>H14*(1+'Visão Geral &amp; Estratégia'!$B$11) + 'Visão Geral &amp; Estratégia'!$B$8*12</f>
        <v/>
      </c>
      <c r="I15" s="14">
        <f>G15+H15</f>
        <v/>
      </c>
      <c r="J15" s="15">
        <f>(G15*'Visão Geral &amp; Estratégia'!$B$9)/12</f>
        <v/>
      </c>
      <c r="K15" s="6" t="inlineStr">
        <is>
          <t>Acúmulo Normal</t>
        </is>
      </c>
    </row>
    <row r="16">
      <c r="A16" s="23" t="n">
        <v>12</v>
      </c>
      <c r="B16" s="25">
        <f>'Visão Geral &amp; Estratégia'!$B$5*12*12</f>
        <v/>
      </c>
      <c r="C16" s="25">
        <f>-FV(('Visão Geral &amp; Estratégia'!$B$9+'Visão Geral &amp; Estratégia'!$B$10)/12, 12*12, 'Visão Geral &amp; Estratégia'!$B$7, 0)</f>
        <v/>
      </c>
      <c r="D16" s="25">
        <f>-FV('Visão Geral &amp; Estratégia'!$B$11/12, 12*12, 'Visão Geral &amp; Estratégia'!$B$8, 0)</f>
        <v/>
      </c>
      <c r="E16" s="15">
        <f>C16+D16</f>
        <v/>
      </c>
      <c r="F16" s="25">
        <f>(C16*'Visão Geral &amp; Estratégia'!$B$9)/12</f>
        <v/>
      </c>
      <c r="G16" s="25">
        <f>(G15*(1+('Visão Geral &amp; Estratégia'!$B$9+'Visão Geral &amp; Estratégia'!$B$10)) + 'Visão Geral &amp; Estratégia'!$B$7*12) + (H15*(1+'Visão Geral &amp; Estratégia'!$B$11) + 'Visão Geral &amp; Estratégia'!$B$8*12)*'Visão Geral &amp; Estratégia'!$B$13</f>
        <v/>
      </c>
      <c r="H16" s="25">
        <f>(H15*(1+'Visão Geral &amp; Estratégia'!$B$11) + 'Visão Geral &amp; Estratégia'!$B$8*12)*(1-'Visão Geral &amp; Estratégia'!$B$13)</f>
        <v/>
      </c>
      <c r="I16" s="14">
        <f>G16+H16</f>
        <v/>
      </c>
      <c r="J16" s="15">
        <f>(G16*'Visão Geral &amp; Estratégia'!$B$9)/12</f>
        <v/>
      </c>
      <c r="K16" s="6" t="inlineStr">
        <is>
          <t>Topo BTC: Venda 25% BTC -&gt; Ações</t>
        </is>
      </c>
    </row>
    <row r="17">
      <c r="A17" s="23" t="n">
        <v>13</v>
      </c>
      <c r="B17" s="25">
        <f>'Visão Geral &amp; Estratégia'!$B$5*12*13</f>
        <v/>
      </c>
      <c r="C17" s="25">
        <f>-FV(('Visão Geral &amp; Estratégia'!$B$9+'Visão Geral &amp; Estratégia'!$B$10)/12, 13*12, 'Visão Geral &amp; Estratégia'!$B$7, 0)</f>
        <v/>
      </c>
      <c r="D17" s="25">
        <f>-FV('Visão Geral &amp; Estratégia'!$B$11/12, 13*12, 'Visão Geral &amp; Estratégia'!$B$8, 0)</f>
        <v/>
      </c>
      <c r="E17" s="15">
        <f>C17+D17</f>
        <v/>
      </c>
      <c r="F17" s="25">
        <f>(C17*'Visão Geral &amp; Estratégia'!$B$9)/12</f>
        <v/>
      </c>
      <c r="G17" s="25">
        <f>G16*(1+('Visão Geral &amp; Estratégia'!$B$9+'Visão Geral &amp; Estratégia'!$B$10)) + 'Visão Geral &amp; Estratégia'!$B$7*12</f>
        <v/>
      </c>
      <c r="H17" s="25">
        <f>H16*(1+'Visão Geral &amp; Estratégia'!$B$11) + 'Visão Geral &amp; Estratégia'!$B$8*12</f>
        <v/>
      </c>
      <c r="I17" s="14">
        <f>G17+H17</f>
        <v/>
      </c>
      <c r="J17" s="15">
        <f>(G17*'Visão Geral &amp; Estratégia'!$B$9)/12</f>
        <v/>
      </c>
      <c r="K17" s="6" t="inlineStr">
        <is>
          <t>Acúmulo Normal</t>
        </is>
      </c>
    </row>
    <row r="18">
      <c r="A18" s="23" t="n">
        <v>14</v>
      </c>
      <c r="B18" s="25">
        <f>'Visão Geral &amp; Estratégia'!$B$5*12*14</f>
        <v/>
      </c>
      <c r="C18" s="25">
        <f>-FV(('Visão Geral &amp; Estratégia'!$B$9+'Visão Geral &amp; Estratégia'!$B$10)/12, 14*12, 'Visão Geral &amp; Estratégia'!$B$7, 0)</f>
        <v/>
      </c>
      <c r="D18" s="25">
        <f>-FV('Visão Geral &amp; Estratégia'!$B$11/12, 14*12, 'Visão Geral &amp; Estratégia'!$B$8, 0)</f>
        <v/>
      </c>
      <c r="E18" s="15">
        <f>C18+D18</f>
        <v/>
      </c>
      <c r="F18" s="25">
        <f>(C18*'Visão Geral &amp; Estratégia'!$B$9)/12</f>
        <v/>
      </c>
      <c r="G18" s="25">
        <f>G17*(1+('Visão Geral &amp; Estratégia'!$B$9+'Visão Geral &amp; Estratégia'!$B$10)) + 'Visão Geral &amp; Estratégia'!$B$7*12</f>
        <v/>
      </c>
      <c r="H18" s="25">
        <f>H17*(1+'Visão Geral &amp; Estratégia'!$B$11) + 'Visão Geral &amp; Estratégia'!$B$8*12</f>
        <v/>
      </c>
      <c r="I18" s="14">
        <f>G18+H18</f>
        <v/>
      </c>
      <c r="J18" s="15">
        <f>(G18*'Visão Geral &amp; Estratégia'!$B$9)/12</f>
        <v/>
      </c>
      <c r="K18" s="6" t="inlineStr">
        <is>
          <t>Acúmulo Normal</t>
        </is>
      </c>
    </row>
    <row r="19">
      <c r="A19" s="23" t="n">
        <v>15</v>
      </c>
      <c r="B19" s="25">
        <f>'Visão Geral &amp; Estratégia'!$B$5*12*15</f>
        <v/>
      </c>
      <c r="C19" s="25">
        <f>-FV(('Visão Geral &amp; Estratégia'!$B$9+'Visão Geral &amp; Estratégia'!$B$10)/12, 15*12, 'Visão Geral &amp; Estratégia'!$B$7, 0)</f>
        <v/>
      </c>
      <c r="D19" s="25">
        <f>-FV('Visão Geral &amp; Estratégia'!$B$11/12, 15*12, 'Visão Geral &amp; Estratégia'!$B$8, 0)</f>
        <v/>
      </c>
      <c r="E19" s="15">
        <f>C19+D19</f>
        <v/>
      </c>
      <c r="F19" s="25">
        <f>(C19*'Visão Geral &amp; Estratégia'!$B$9)/12</f>
        <v/>
      </c>
      <c r="G19" s="25">
        <f>G18*(1+('Visão Geral &amp; Estratégia'!$B$9+'Visão Geral &amp; Estratégia'!$B$10)) + 'Visão Geral &amp; Estratégia'!$B$7*12</f>
        <v/>
      </c>
      <c r="H19" s="25">
        <f>H18*(1+'Visão Geral &amp; Estratégia'!$B$11) + 'Visão Geral &amp; Estratégia'!$B$8*12</f>
        <v/>
      </c>
      <c r="I19" s="14">
        <f>G19+H19</f>
        <v/>
      </c>
      <c r="J19" s="15">
        <f>(G19*'Visão Geral &amp; Estratégia'!$B$9)/12</f>
        <v/>
      </c>
      <c r="K19" s="6" t="inlineStr">
        <is>
          <t>Acúmulo Normal</t>
        </is>
      </c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2026-09-29T17:18:44Z</dcterms:created>
  <dcterms:modified xmlns:dcterms="http://purl.org/dc/terms/" xmlns:xsi="http://www.w3.org/2001/XMLSchema-instance" xsi:type="dcterms:W3CDTF">2026-09-29T17:18:44Z</dcterms:modified>
</cp:coreProperties>
</file>